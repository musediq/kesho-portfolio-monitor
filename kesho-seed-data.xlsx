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DirectPositions" sheetId="2" state="visible" r:id="rId4"/>
    <sheet name="FundCommitments" sheetId="3" state="visible" r:id="rId5"/>
    <sheet name="CashFlowEvents" sheetId="4" state="visible" r:id="rId6"/>
    <sheet name="ImpactHoldings" sheetId="5" state="visible" r:id="rId7"/>
    <sheet name="Portfolio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<sst xmlns="http://schemas.openxmlformats.org/spreadsheetml/2006/main" count="202" uniqueCount="147">
  <si>
    <t xml:space="preserve">Kesho Capital — Data Notes and Assumptions</t>
  </si>
  <si>
    <t xml:space="preserve">Reporting currency</t>
  </si>
  <si>
    <t xml:space="preserve">NGN</t>
  </si>
  <si>
    <t xml:space="preserve">FX rate assumption (NGN per USD)</t>
  </si>
  <si>
    <t xml:space="preserve">Illustrative snapshot rate for this exercise. Production should source a live rate per valuation date, not a hardcoded one.</t>
  </si>
  <si>
    <t xml:space="preserve">As-of date for this data</t>
  </si>
  <si>
    <t xml:space="preserve">2025-05-01</t>
  </si>
  <si>
    <t xml:space="preserve">Methodology notes</t>
  </si>
  <si>
    <t xml:space="preserve">• Kesho's ownership % in each fund is estimated as committed capital ÷ total fund size, taken from the LPA or GP statement where available. This is an approximation — actual economic share can differ with side letters or a preferred-return waterfall. Confirm against Kesho's capital account statements where they exist.</t>
  </si>
  <si>
    <t xml:space="preserve">• Capital call figures on the CashFlowEvents tab represent Kesho's own call notices — already Kesho's pro-rata share — net of the management fees and operating expenses each notice bundles in.</t>
  </si>
  <si>
    <t xml:space="preserve">• Data-quality flags (ZeroOrPlaceholder, MissingMetrics) are excluded from performance ratios and shown as “Needs Review” rather than a misleading number.</t>
  </si>
  <si>
    <t xml:space="preserve">• Craftbyte Software and Zolapay were divested and have been reclassified from Active to Exited here, with illustrative exit dates and proceeds, since Kesho's own source tracker had not yet been updated at the time of the onboarding calls.</t>
  </si>
  <si>
    <t xml:space="preserve">• Kola Advisory is listed as Pipeline (under consideration), not an active commitment, and is excluded from all portfolio totals.</t>
  </si>
  <si>
    <t xml:space="preserve">position_id</t>
  </si>
  <si>
    <t xml:space="preserve">name</t>
  </si>
  <si>
    <t xml:space="preserve">sector</t>
  </si>
  <si>
    <t xml:space="preserve">basis</t>
  </si>
  <si>
    <t xml:space="preserve">currency</t>
  </si>
  <si>
    <t xml:space="preserve">cost_or_stake_usd</t>
  </si>
  <si>
    <t xml:space="preserve">current_fair_value_usd</t>
  </si>
  <si>
    <t xml:space="preserve">co_investors</t>
  </si>
  <si>
    <t xml:space="preserve">tradable</t>
  </si>
  <si>
    <t xml:space="preserve">status</t>
  </si>
  <si>
    <t xml:space="preserve">DP-01</t>
  </si>
  <si>
    <t xml:space="preserve">Greenline Rail SPV</t>
  </si>
  <si>
    <t xml:space="preserve">Infrastructure</t>
  </si>
  <si>
    <t xml:space="preserve">Cost</t>
  </si>
  <si>
    <t xml:space="preserve">USD</t>
  </si>
  <si>
    <t xml:space="preserve">Pension fund; strategic industrial partner</t>
  </si>
  <si>
    <t xml:space="preserve">No</t>
  </si>
  <si>
    <t xml:space="preserve">Active</t>
  </si>
  <si>
    <t xml:space="preserve">DP-02</t>
  </si>
  <si>
    <t xml:space="preserve">Anka Manufacturing Holding</t>
  </si>
  <si>
    <t xml:space="preserve">Industrials</t>
  </si>
  <si>
    <t xml:space="preserve">Revenue multiple</t>
  </si>
  <si>
    <t xml:space="preserve">DP-03</t>
  </si>
  <si>
    <t xml:space="preserve">Coastal Free-Zone Asset</t>
  </si>
  <si>
    <t xml:space="preserve">Real assets</t>
  </si>
  <si>
    <t xml:space="preserve">Mark-to-market</t>
  </si>
  <si>
    <t xml:space="preserve">Note: Coastal Free-Zone Asset is an inherited listed stake Kesho cannot trade; held for legacy reasons.</t>
  </si>
  <si>
    <t xml:space="preserve">manager_name</t>
  </si>
  <si>
    <t xml:space="preserve">committed_amount</t>
  </si>
  <si>
    <t xml:space="preserve">called_to_date</t>
  </si>
  <si>
    <t xml:space="preserve">fund_total_committed_size</t>
  </si>
  <si>
    <t xml:space="preserve">fund_reported_nav</t>
  </si>
  <si>
    <t xml:space="preserve">kesho_ownership_pct</t>
  </si>
  <si>
    <t xml:space="preserve">kesho_share_of_nav</t>
  </si>
  <si>
    <t xml:space="preserve">FC-01</t>
  </si>
  <si>
    <t xml:space="preserve">Marara Capital (Fund II)</t>
  </si>
  <si>
    <t xml:space="preserve">FC-02</t>
  </si>
  <si>
    <t xml:space="preserve">Subira Ventures</t>
  </si>
  <si>
    <t xml:space="preserve">FC-03</t>
  </si>
  <si>
    <t xml:space="preserve">Harmattan Infrastructure Partners</t>
  </si>
  <si>
    <t xml:space="preserve">FC-04</t>
  </si>
  <si>
    <t xml:space="preserve">Kanuri Capital</t>
  </si>
  <si>
    <t xml:space="preserve">FC-05</t>
  </si>
  <si>
    <t xml:space="preserve">Kola Advisory</t>
  </si>
  <si>
    <t xml:space="preserve">Pipeline</t>
  </si>
  <si>
    <t xml:space="preserve">Note: kesho_ownership_pct and kesho_share_of_nav are calculated fields (see Assumptions tab for methodology and caveats).</t>
  </si>
  <si>
    <t xml:space="preserve">event_id</t>
  </si>
  <si>
    <t xml:space="preserve">event_date</t>
  </si>
  <si>
    <t xml:space="preserve">event_type</t>
  </si>
  <si>
    <t xml:space="preserve">gross_amount</t>
  </si>
  <si>
    <t xml:space="preserve">fee_component</t>
  </si>
  <si>
    <t xml:space="preserve">opex_component</t>
  </si>
  <si>
    <t xml:space="preserve">net_invested_capital</t>
  </si>
  <si>
    <t xml:space="preserve">distribution_amount</t>
  </si>
  <si>
    <t xml:space="preserve">CF-01</t>
  </si>
  <si>
    <t xml:space="preserve">2022-03-15</t>
  </si>
  <si>
    <t xml:space="preserve">Call</t>
  </si>
  <si>
    <t xml:space="preserve">CF-02</t>
  </si>
  <si>
    <t xml:space="preserve">2022-11-01</t>
  </si>
  <si>
    <t xml:space="preserve">CF-03</t>
  </si>
  <si>
    <t xml:space="preserve">2023-08-10</t>
  </si>
  <si>
    <t xml:space="preserve">CF-04</t>
  </si>
  <si>
    <t xml:space="preserve">2023-12-01</t>
  </si>
  <si>
    <t xml:space="preserve">Distribution</t>
  </si>
  <si>
    <t xml:space="preserve">CF-05</t>
  </si>
  <si>
    <t xml:space="preserve">2023-01-20</t>
  </si>
  <si>
    <t xml:space="preserve">CF-06</t>
  </si>
  <si>
    <t xml:space="preserve">2023-09-05</t>
  </si>
  <si>
    <t xml:space="preserve">CF-07</t>
  </si>
  <si>
    <t xml:space="preserve">2019-06-01</t>
  </si>
  <si>
    <t xml:space="preserve">CF-08</t>
  </si>
  <si>
    <t xml:space="preserve">2020-05-15</t>
  </si>
  <si>
    <t xml:space="preserve">CF-09</t>
  </si>
  <si>
    <t xml:space="preserve">2021-04-10</t>
  </si>
  <si>
    <t xml:space="preserve">CF-10</t>
  </si>
  <si>
    <t xml:space="preserve">2022-03-01</t>
  </si>
  <si>
    <t xml:space="preserve">CF-11</t>
  </si>
  <si>
    <t xml:space="preserve">2022-12-01</t>
  </si>
  <si>
    <t xml:space="preserve">CF-12</t>
  </si>
  <si>
    <t xml:space="preserve">CF-13</t>
  </si>
  <si>
    <t xml:space="preserve">2022-07-01</t>
  </si>
  <si>
    <t xml:space="preserve">CF-14</t>
  </si>
  <si>
    <t xml:space="preserve">2023-06-15</t>
  </si>
  <si>
    <t xml:space="preserve">Note: gross_amount, fee_component and opex_component reflect Kesho's own call notices, not fund-level totals — this is the schedule referenced in the reporting note to isolate Kesho's actual invested capital.</t>
  </si>
  <si>
    <t xml:space="preserve">portfolio_company</t>
  </si>
  <si>
    <t xml:space="preserve">cost_ngn</t>
  </si>
  <si>
    <t xml:space="preserve">fair_value_ngn</t>
  </si>
  <si>
    <t xml:space="preserve">exit_date</t>
  </si>
  <si>
    <t xml:space="preserve">exit_proceeds_ngn</t>
  </si>
  <si>
    <t xml:space="preserve">data_quality_flag</t>
  </si>
  <si>
    <t xml:space="preserve">moic</t>
  </si>
  <si>
    <t xml:space="preserve">IH-01</t>
  </si>
  <si>
    <t xml:space="preserve">Harvestbridge Foods</t>
  </si>
  <si>
    <t xml:space="preserve">Clean</t>
  </si>
  <si>
    <t xml:space="preserve">IH-02</t>
  </si>
  <si>
    <t xml:space="preserve">Craftbyte Software</t>
  </si>
  <si>
    <t xml:space="preserve">Exited</t>
  </si>
  <si>
    <t xml:space="preserve">2025-02-20</t>
  </si>
  <si>
    <t xml:space="preserve">IH-03</t>
  </si>
  <si>
    <t xml:space="preserve">Zolapay</t>
  </si>
  <si>
    <t xml:space="preserve">2025-01-10</t>
  </si>
  <si>
    <t xml:space="preserve">IH-04</t>
  </si>
  <si>
    <t xml:space="preserve">Greenwatt Utilities</t>
  </si>
  <si>
    <t xml:space="preserve">ZeroOrPlaceholder</t>
  </si>
  <si>
    <t xml:space="preserve">IH-05</t>
  </si>
  <si>
    <t xml:space="preserve">SkillSprout Africa</t>
  </si>
  <si>
    <t xml:space="preserve">MissingMetrics</t>
  </si>
  <si>
    <t xml:space="preserve">Note: Greenwatt (zero/placeholder value) and SkillSprout (missing fair value) are flagged Needs Review, not silently included in performance ratios.</t>
  </si>
  <si>
    <t xml:space="preserve">Kesho Capital — Portfolio Summary (Active positions only)</t>
  </si>
  <si>
    <t xml:space="preserve">As of Assumptions!B5 — all figures converted to NGN at the FX rate on the Assumptions tab</t>
  </si>
  <si>
    <t xml:space="preserve">1. Direct Positions</t>
  </si>
  <si>
    <t xml:space="preserve">Total cost (USD)</t>
  </si>
  <si>
    <t xml:space="preserve">Total fair value (USD)</t>
  </si>
  <si>
    <t xml:space="preserve">Total cost (NGN)</t>
  </si>
  <si>
    <t xml:space="preserve">Total fair value (NGN)</t>
  </si>
  <si>
    <t xml:space="preserve">2. Fund-of-Funds Commitments</t>
  </si>
  <si>
    <t xml:space="preserve">Total Kesho net invested capital, all funds (USD)</t>
  </si>
  <si>
    <t xml:space="preserve">Total Kesho distributions received (USD)</t>
  </si>
  <si>
    <t xml:space="preserve">Total Kesho current share of NAV (USD)</t>
  </si>
  <si>
    <t xml:space="preserve">Total net invested capital (NGN)</t>
  </si>
  <si>
    <t xml:space="preserve">Total current share of NAV (NGN)</t>
  </si>
  <si>
    <t xml:space="preserve">Portfolio-level MOIC (funds only)</t>
  </si>
  <si>
    <t xml:space="preserve">3. Wholly-Owned Impact Fund</t>
  </si>
  <si>
    <t xml:space="preserve">Total fair value (NGN) — excludes flagged positions valued at 0/blank</t>
  </si>
  <si>
    <t xml:space="preserve">Active positions flagged Needs Review</t>
  </si>
  <si>
    <t xml:space="preserve">4. Total Portfolio (NGN, Active positions, Kesho's actual share)</t>
  </si>
  <si>
    <t xml:space="preserve">Total cost / invested capital</t>
  </si>
  <si>
    <t xml:space="preserve">Total fair value</t>
  </si>
  <si>
    <t xml:space="preserve">5. Recently Exited</t>
  </si>
  <si>
    <t xml:space="preserve">Company</t>
  </si>
  <si>
    <t xml:space="preserve">Exit date</t>
  </si>
  <si>
    <t xml:space="preserve">Cost (NGN)</t>
  </si>
  <si>
    <t xml:space="preserve">Exit proceeds (NGN)</t>
  </si>
  <si>
    <t xml:space="preserve">Realized MOIC</t>
  </si>
</sst>
</file>

<file path=xl/styles.xml><?xml version="1.0" encoding="utf-8"?>
<styleSheet xmlns="http://schemas.openxmlformats.org/spreadsheetml/2006/main">
  <numFmts count="6">
    <numFmt numFmtId="164" formatCode="General"/>
    <numFmt numFmtId="165" formatCode="#,##0"/>
    <numFmt numFmtId="166" formatCode="\$#,##0;&quot;($&quot;#,##0\);\-"/>
    <numFmt numFmtId="167" formatCode="0.0%"/>
    <numFmt numFmtId="168" formatCode="\₦#,##0;&quot;(₦&quot;#,##0\);\-"/>
    <numFmt numFmtId="169" formatCode="0.0\x"/>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rgb="FF0000FF"/>
      <name val="Arial"/>
      <family val="0"/>
      <charset val="1"/>
    </font>
    <font>
      <i val="true"/>
      <sz val="9"/>
      <color rgb="FF595959"/>
      <name val="Arial"/>
      <family val="0"/>
      <charset val="1"/>
    </font>
    <font>
      <b val="true"/>
      <sz val="11"/>
      <color rgb="FF1F3864"/>
      <name val="Arial"/>
      <family val="0"/>
      <charset val="1"/>
    </font>
    <font>
      <b val="true"/>
      <sz val="11"/>
      <color rgb="FFFFFFFF"/>
      <name val="Arial"/>
      <family val="0"/>
      <charset val="1"/>
    </font>
    <font>
      <sz val="11"/>
      <color rgb="FF000000"/>
      <name val="Arial"/>
      <family val="0"/>
      <charset val="1"/>
    </font>
    <font>
      <b val="true"/>
      <sz val="11"/>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60"/>
    <col collapsed="false" customWidth="true" hidden="false" outlineLevel="0" max="6" min="4" style="0" width="10"/>
  </cols>
  <sheetData>
    <row r="1" customFormat="false" ht="17.35" hidden="false" customHeight="false" outlineLevel="0" collapsed="false">
      <c r="A1" s="1" t="s">
        <v>0</v>
      </c>
      <c r="B1" s="1"/>
      <c r="C1" s="1"/>
      <c r="D1" s="1"/>
    </row>
    <row r="3" customFormat="false" ht="15" hidden="false" customHeight="false" outlineLevel="0" collapsed="false">
      <c r="A3" s="0" t="s">
        <v>1</v>
      </c>
      <c r="B3" s="0" t="s">
        <v>2</v>
      </c>
    </row>
    <row r="4" customFormat="false" ht="15" hidden="false" customHeight="false" outlineLevel="0" collapsed="false">
      <c r="A4" s="0" t="s">
        <v>3</v>
      </c>
      <c r="B4" s="2" t="n">
        <v>1550</v>
      </c>
      <c r="C4" s="3" t="s">
        <v>4</v>
      </c>
    </row>
    <row r="5" customFormat="false" ht="15" hidden="false" customHeight="false" outlineLevel="0" collapsed="false">
      <c r="A5" s="0" t="s">
        <v>5</v>
      </c>
      <c r="B5" s="4" t="s">
        <v>6</v>
      </c>
    </row>
    <row r="7" customFormat="false" ht="15" hidden="false" customHeight="false" outlineLevel="0" collapsed="false">
      <c r="A7" s="5" t="s">
        <v>7</v>
      </c>
    </row>
    <row r="8" customFormat="false" ht="30" hidden="false" customHeight="true" outlineLevel="0" collapsed="false">
      <c r="A8" s="6" t="s">
        <v>8</v>
      </c>
      <c r="B8" s="6"/>
      <c r="C8" s="6"/>
      <c r="D8" s="6"/>
      <c r="E8" s="6"/>
      <c r="F8" s="6"/>
    </row>
    <row r="9" customFormat="false" ht="30" hidden="false" customHeight="true" outlineLevel="0" collapsed="false">
      <c r="A9" s="6" t="s">
        <v>9</v>
      </c>
      <c r="B9" s="6"/>
      <c r="C9" s="6"/>
      <c r="D9" s="6"/>
      <c r="E9" s="6"/>
      <c r="F9" s="6"/>
    </row>
    <row r="10" customFormat="false" ht="30" hidden="false" customHeight="true" outlineLevel="0" collapsed="false">
      <c r="A10" s="6" t="s">
        <v>10</v>
      </c>
      <c r="B10" s="6"/>
      <c r="C10" s="6"/>
      <c r="D10" s="6"/>
      <c r="E10" s="6"/>
      <c r="F10" s="6"/>
    </row>
    <row r="11" customFormat="false" ht="30" hidden="false" customHeight="true" outlineLevel="0" collapsed="false">
      <c r="A11" s="6" t="s">
        <v>11</v>
      </c>
      <c r="B11" s="6"/>
      <c r="C11" s="6"/>
      <c r="D11" s="6"/>
      <c r="E11" s="6"/>
      <c r="F11" s="6"/>
    </row>
    <row r="12" customFormat="false" ht="30" hidden="false" customHeight="true" outlineLevel="0" collapsed="false">
      <c r="A12" s="6" t="s">
        <v>12</v>
      </c>
      <c r="B12" s="6"/>
      <c r="C12" s="6"/>
      <c r="D12" s="6"/>
      <c r="E12" s="6"/>
      <c r="F12" s="6"/>
    </row>
  </sheetData>
  <mergeCells count="6">
    <mergeCell ref="A1:D1"/>
    <mergeCell ref="A8:F8"/>
    <mergeCell ref="A9:F9"/>
    <mergeCell ref="A10:F10"/>
    <mergeCell ref="A11:F11"/>
    <mergeCell ref="A12:F1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4" min="3" style="0" width="16"/>
    <col collapsed="false" customWidth="true" hidden="false" outlineLevel="0" max="5" min="5" style="0" width="9"/>
    <col collapsed="false" customWidth="true" hidden="false" outlineLevel="0" max="6" min="6" style="0" width="15"/>
    <col collapsed="false" customWidth="true" hidden="false" outlineLevel="0" max="7" min="7" style="0" width="16"/>
    <col collapsed="false" customWidth="true" hidden="false" outlineLevel="0" max="8" min="8" style="0" width="32"/>
    <col collapsed="false" customWidth="true" hidden="false" outlineLevel="0" max="10" min="9" style="0" width="9"/>
  </cols>
  <sheetData>
    <row r="1" customFormat="false" ht="26.85" hidden="false" customHeight="false" outlineLevel="0" collapsed="false">
      <c r="A1" s="7" t="s">
        <v>13</v>
      </c>
      <c r="B1" s="7" t="s">
        <v>14</v>
      </c>
      <c r="C1" s="7" t="s">
        <v>15</v>
      </c>
      <c r="D1" s="7" t="s">
        <v>16</v>
      </c>
      <c r="E1" s="7" t="s">
        <v>17</v>
      </c>
      <c r="F1" s="7" t="s">
        <v>18</v>
      </c>
      <c r="G1" s="7" t="s">
        <v>19</v>
      </c>
      <c r="H1" s="7" t="s">
        <v>20</v>
      </c>
      <c r="I1" s="7" t="s">
        <v>21</v>
      </c>
      <c r="J1" s="7" t="s">
        <v>22</v>
      </c>
    </row>
    <row r="2" customFormat="false" ht="15" hidden="false" customHeight="false" outlineLevel="0" collapsed="false">
      <c r="A2" s="8" t="s">
        <v>23</v>
      </c>
      <c r="B2" s="8" t="s">
        <v>24</v>
      </c>
      <c r="C2" s="8" t="s">
        <v>25</v>
      </c>
      <c r="D2" s="8" t="s">
        <v>26</v>
      </c>
      <c r="E2" s="8" t="s">
        <v>27</v>
      </c>
      <c r="F2" s="9" t="n">
        <v>12000000</v>
      </c>
      <c r="G2" s="9" t="n">
        <v>12000000</v>
      </c>
      <c r="H2" s="8" t="s">
        <v>28</v>
      </c>
      <c r="I2" s="8" t="s">
        <v>29</v>
      </c>
      <c r="J2" s="8" t="s">
        <v>30</v>
      </c>
    </row>
    <row r="3" customFormat="false" ht="15" hidden="false" customHeight="false" outlineLevel="0" collapsed="false">
      <c r="A3" s="8" t="s">
        <v>31</v>
      </c>
      <c r="B3" s="8" t="s">
        <v>32</v>
      </c>
      <c r="C3" s="8" t="s">
        <v>33</v>
      </c>
      <c r="D3" s="8" t="s">
        <v>34</v>
      </c>
      <c r="E3" s="8" t="s">
        <v>27</v>
      </c>
      <c r="F3" s="9" t="n">
        <v>6000000</v>
      </c>
      <c r="G3" s="9" t="n">
        <v>7200000</v>
      </c>
      <c r="H3" s="8"/>
      <c r="I3" s="8" t="s">
        <v>29</v>
      </c>
      <c r="J3" s="8" t="s">
        <v>30</v>
      </c>
    </row>
    <row r="4" customFormat="false" ht="15" hidden="false" customHeight="false" outlineLevel="0" collapsed="false">
      <c r="A4" s="8" t="s">
        <v>35</v>
      </c>
      <c r="B4" s="8" t="s">
        <v>36</v>
      </c>
      <c r="C4" s="8" t="s">
        <v>37</v>
      </c>
      <c r="D4" s="8" t="s">
        <v>38</v>
      </c>
      <c r="E4" s="8" t="s">
        <v>27</v>
      </c>
      <c r="F4" s="9" t="n">
        <v>4000000</v>
      </c>
      <c r="G4" s="9" t="n">
        <v>3750000</v>
      </c>
      <c r="H4" s="8"/>
      <c r="I4" s="8" t="s">
        <v>29</v>
      </c>
      <c r="J4" s="8" t="s">
        <v>30</v>
      </c>
    </row>
    <row r="5" customFormat="false" ht="15" hidden="false" customHeight="false" outlineLevel="0" collapsed="false">
      <c r="A5" s="3" t="s">
        <v>39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2"/>
    <col collapsed="false" customWidth="true" hidden="false" outlineLevel="0" max="3" min="3" style="0" width="9"/>
    <col collapsed="false" customWidth="true" hidden="false" outlineLevel="0" max="4" min="4" style="0" width="16"/>
    <col collapsed="false" customWidth="true" hidden="false" outlineLevel="0" max="5" min="5" style="0" width="14"/>
    <col collapsed="false" customWidth="true" hidden="false" outlineLevel="0" max="6" min="6" style="0" width="22"/>
    <col collapsed="false" customWidth="true" hidden="false" outlineLevel="0" max="9" min="7" style="0" width="16"/>
    <col collapsed="false" customWidth="true" hidden="false" outlineLevel="0" max="10" min="10" style="0" width="9"/>
  </cols>
  <sheetData>
    <row r="1" customFormat="false" ht="26.85" hidden="false" customHeight="false" outlineLevel="0" collapsed="false">
      <c r="A1" s="7" t="s">
        <v>13</v>
      </c>
      <c r="B1" s="7" t="s">
        <v>40</v>
      </c>
      <c r="C1" s="7" t="s">
        <v>17</v>
      </c>
      <c r="D1" s="7" t="s">
        <v>41</v>
      </c>
      <c r="E1" s="7" t="s">
        <v>42</v>
      </c>
      <c r="F1" s="7" t="s">
        <v>43</v>
      </c>
      <c r="G1" s="7" t="s">
        <v>44</v>
      </c>
      <c r="H1" s="7" t="s">
        <v>45</v>
      </c>
      <c r="I1" s="7" t="s">
        <v>46</v>
      </c>
      <c r="J1" s="7" t="s">
        <v>22</v>
      </c>
    </row>
    <row r="2" customFormat="false" ht="15" hidden="false" customHeight="false" outlineLevel="0" collapsed="false">
      <c r="A2" s="8" t="s">
        <v>47</v>
      </c>
      <c r="B2" s="8" t="s">
        <v>48</v>
      </c>
      <c r="C2" s="8" t="s">
        <v>27</v>
      </c>
      <c r="D2" s="9" t="n">
        <v>10000000</v>
      </c>
      <c r="E2" s="9" t="n">
        <v>6000000</v>
      </c>
      <c r="F2" s="9" t="n">
        <v>150000000</v>
      </c>
      <c r="G2" s="9" t="n">
        <v>172500000</v>
      </c>
      <c r="H2" s="10" t="n">
        <f aca="false">D2/F2</f>
        <v>0.0666666666666667</v>
      </c>
      <c r="I2" s="9" t="n">
        <f aca="false">H2*G2</f>
        <v>11500000</v>
      </c>
      <c r="J2" s="8" t="s">
        <v>30</v>
      </c>
    </row>
    <row r="3" customFormat="false" ht="15" hidden="false" customHeight="false" outlineLevel="0" collapsed="false">
      <c r="A3" s="8" t="s">
        <v>49</v>
      </c>
      <c r="B3" s="8" t="s">
        <v>50</v>
      </c>
      <c r="C3" s="8" t="s">
        <v>27</v>
      </c>
      <c r="D3" s="9" t="n">
        <v>5000000</v>
      </c>
      <c r="E3" s="9" t="n">
        <v>2000000</v>
      </c>
      <c r="F3" s="9" t="n">
        <v>60000000</v>
      </c>
      <c r="G3" s="9" t="n">
        <v>50000000</v>
      </c>
      <c r="H3" s="10" t="n">
        <f aca="false">D3/F3</f>
        <v>0.0833333333333333</v>
      </c>
      <c r="I3" s="9" t="n">
        <f aca="false">H3*G3</f>
        <v>4166666.66666667</v>
      </c>
      <c r="J3" s="8" t="s">
        <v>30</v>
      </c>
    </row>
    <row r="4" customFormat="false" ht="15" hidden="false" customHeight="false" outlineLevel="0" collapsed="false">
      <c r="A4" s="8" t="s">
        <v>51</v>
      </c>
      <c r="B4" s="8" t="s">
        <v>52</v>
      </c>
      <c r="C4" s="8" t="s">
        <v>27</v>
      </c>
      <c r="D4" s="9" t="n">
        <v>8000000</v>
      </c>
      <c r="E4" s="9" t="n">
        <v>8000000</v>
      </c>
      <c r="F4" s="9" t="n">
        <v>200000000</v>
      </c>
      <c r="G4" s="9" t="n">
        <v>230000000</v>
      </c>
      <c r="H4" s="10" t="n">
        <f aca="false">D4/F4</f>
        <v>0.04</v>
      </c>
      <c r="I4" s="9" t="n">
        <f aca="false">H4*G4</f>
        <v>9200000</v>
      </c>
      <c r="J4" s="8" t="s">
        <v>30</v>
      </c>
    </row>
    <row r="5" customFormat="false" ht="15" hidden="false" customHeight="false" outlineLevel="0" collapsed="false">
      <c r="A5" s="8" t="s">
        <v>53</v>
      </c>
      <c r="B5" s="8" t="s">
        <v>54</v>
      </c>
      <c r="C5" s="8" t="s">
        <v>27</v>
      </c>
      <c r="D5" s="9" t="n">
        <v>6000000</v>
      </c>
      <c r="E5" s="9" t="n">
        <v>3000000</v>
      </c>
      <c r="F5" s="9" t="n">
        <v>80000000</v>
      </c>
      <c r="G5" s="9" t="n">
        <v>70000000</v>
      </c>
      <c r="H5" s="10" t="n">
        <f aca="false">D5/F5</f>
        <v>0.075</v>
      </c>
      <c r="I5" s="9" t="n">
        <f aca="false">H5*G5</f>
        <v>5250000</v>
      </c>
      <c r="J5" s="8" t="s">
        <v>30</v>
      </c>
    </row>
    <row r="6" customFormat="false" ht="15" hidden="false" customHeight="false" outlineLevel="0" collapsed="false">
      <c r="A6" s="8" t="s">
        <v>55</v>
      </c>
      <c r="B6" s="8" t="s">
        <v>56</v>
      </c>
      <c r="C6" s="8" t="s">
        <v>27</v>
      </c>
      <c r="D6" s="9" t="n">
        <v>0</v>
      </c>
      <c r="E6" s="9" t="n">
        <v>0</v>
      </c>
      <c r="F6" s="9" t="n">
        <v>0</v>
      </c>
      <c r="G6" s="9" t="n">
        <v>0</v>
      </c>
      <c r="H6" s="10" t="n">
        <v>0</v>
      </c>
      <c r="I6" s="9" t="n">
        <v>0</v>
      </c>
      <c r="J6" s="8" t="s">
        <v>57</v>
      </c>
    </row>
    <row r="8" customFormat="false" ht="15" hidden="false" customHeight="false" outlineLevel="0" collapsed="false">
      <c r="A8" s="3" t="s">
        <v>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3"/>
    <col collapsed="false" customWidth="true" hidden="false" outlineLevel="0" max="4" min="4" style="0" width="14"/>
    <col collapsed="false" customWidth="true" hidden="false" outlineLevel="0" max="5" min="5" style="0" width="15"/>
    <col collapsed="false" customWidth="true" hidden="false" outlineLevel="0" max="6" min="6" style="0" width="14"/>
    <col collapsed="false" customWidth="true" hidden="false" outlineLevel="0" max="7" min="7" style="0" width="15"/>
    <col collapsed="false" customWidth="true" hidden="false" outlineLevel="0" max="9" min="8" style="0" width="18"/>
  </cols>
  <sheetData>
    <row r="1" customFormat="false" ht="26.85" hidden="false" customHeight="false" outlineLevel="0" collapsed="false">
      <c r="A1" s="7" t="s">
        <v>59</v>
      </c>
      <c r="B1" s="7" t="s">
        <v>13</v>
      </c>
      <c r="C1" s="7" t="s">
        <v>60</v>
      </c>
      <c r="D1" s="7" t="s">
        <v>61</v>
      </c>
      <c r="E1" s="7" t="s">
        <v>62</v>
      </c>
      <c r="F1" s="7" t="s">
        <v>63</v>
      </c>
      <c r="G1" s="7" t="s">
        <v>64</v>
      </c>
      <c r="H1" s="7" t="s">
        <v>65</v>
      </c>
      <c r="I1" s="7" t="s">
        <v>66</v>
      </c>
    </row>
    <row r="2" customFormat="false" ht="15" hidden="false" customHeight="false" outlineLevel="0" collapsed="false">
      <c r="A2" s="8" t="s">
        <v>67</v>
      </c>
      <c r="B2" s="8" t="s">
        <v>47</v>
      </c>
      <c r="C2" s="8" t="s">
        <v>68</v>
      </c>
      <c r="D2" s="8" t="s">
        <v>69</v>
      </c>
      <c r="E2" s="9" t="n">
        <v>2500000</v>
      </c>
      <c r="F2" s="9" t="n">
        <v>150000</v>
      </c>
      <c r="G2" s="9" t="n">
        <v>20000</v>
      </c>
      <c r="H2" s="9" t="n">
        <f aca="false">IF(D2="Call",E2-F2-G2,0)</f>
        <v>2330000</v>
      </c>
      <c r="I2" s="9" t="n">
        <f aca="false">IF(D2="Distribution",E2,0)</f>
        <v>0</v>
      </c>
    </row>
    <row r="3" customFormat="false" ht="15" hidden="false" customHeight="false" outlineLevel="0" collapsed="false">
      <c r="A3" s="8" t="s">
        <v>70</v>
      </c>
      <c r="B3" s="8" t="s">
        <v>47</v>
      </c>
      <c r="C3" s="8" t="s">
        <v>71</v>
      </c>
      <c r="D3" s="8" t="s">
        <v>69</v>
      </c>
      <c r="E3" s="9" t="n">
        <v>2000000</v>
      </c>
      <c r="F3" s="9" t="n">
        <v>120000</v>
      </c>
      <c r="G3" s="9" t="n">
        <v>10000</v>
      </c>
      <c r="H3" s="9" t="n">
        <f aca="false">IF(D3="Call",E3-F3-G3,0)</f>
        <v>1870000</v>
      </c>
      <c r="I3" s="9" t="n">
        <f aca="false">IF(D3="Distribution",E3,0)</f>
        <v>0</v>
      </c>
    </row>
    <row r="4" customFormat="false" ht="15" hidden="false" customHeight="false" outlineLevel="0" collapsed="false">
      <c r="A4" s="8" t="s">
        <v>72</v>
      </c>
      <c r="B4" s="8" t="s">
        <v>47</v>
      </c>
      <c r="C4" s="8" t="s">
        <v>73</v>
      </c>
      <c r="D4" s="8" t="s">
        <v>69</v>
      </c>
      <c r="E4" s="9" t="n">
        <v>1500000</v>
      </c>
      <c r="F4" s="9" t="n">
        <v>90000</v>
      </c>
      <c r="G4" s="9" t="n">
        <v>10000</v>
      </c>
      <c r="H4" s="9" t="n">
        <f aca="false">IF(D4="Call",E4-F4-G4,0)</f>
        <v>1400000</v>
      </c>
      <c r="I4" s="9" t="n">
        <f aca="false">IF(D4="Distribution",E4,0)</f>
        <v>0</v>
      </c>
    </row>
    <row r="5" customFormat="false" ht="15" hidden="false" customHeight="false" outlineLevel="0" collapsed="false">
      <c r="A5" s="8" t="s">
        <v>74</v>
      </c>
      <c r="B5" s="8" t="s">
        <v>47</v>
      </c>
      <c r="C5" s="8" t="s">
        <v>75</v>
      </c>
      <c r="D5" s="8" t="s">
        <v>76</v>
      </c>
      <c r="E5" s="9" t="n">
        <v>800000</v>
      </c>
      <c r="F5" s="9" t="n">
        <v>0</v>
      </c>
      <c r="G5" s="9" t="n">
        <v>0</v>
      </c>
      <c r="H5" s="9" t="n">
        <f aca="false">IF(D5="Call",E5-F5-G5,0)</f>
        <v>0</v>
      </c>
      <c r="I5" s="9" t="n">
        <f aca="false">IF(D5="Distribution",E5,0)</f>
        <v>800000</v>
      </c>
    </row>
    <row r="6" customFormat="false" ht="15" hidden="false" customHeight="false" outlineLevel="0" collapsed="false">
      <c r="A6" s="8" t="s">
        <v>77</v>
      </c>
      <c r="B6" s="8" t="s">
        <v>49</v>
      </c>
      <c r="C6" s="8" t="s">
        <v>78</v>
      </c>
      <c r="D6" s="8" t="s">
        <v>69</v>
      </c>
      <c r="E6" s="9" t="n">
        <v>1200000</v>
      </c>
      <c r="F6" s="9" t="n">
        <v>80000</v>
      </c>
      <c r="G6" s="9" t="n">
        <v>10000</v>
      </c>
      <c r="H6" s="9" t="n">
        <f aca="false">IF(D6="Call",E6-F6-G6,0)</f>
        <v>1110000</v>
      </c>
      <c r="I6" s="9" t="n">
        <f aca="false">IF(D6="Distribution",E6,0)</f>
        <v>0</v>
      </c>
    </row>
    <row r="7" customFormat="false" ht="15" hidden="false" customHeight="false" outlineLevel="0" collapsed="false">
      <c r="A7" s="8" t="s">
        <v>79</v>
      </c>
      <c r="B7" s="8" t="s">
        <v>49</v>
      </c>
      <c r="C7" s="8" t="s">
        <v>80</v>
      </c>
      <c r="D7" s="8" t="s">
        <v>69</v>
      </c>
      <c r="E7" s="9" t="n">
        <v>800000</v>
      </c>
      <c r="F7" s="9" t="n">
        <v>50000</v>
      </c>
      <c r="G7" s="9" t="n">
        <v>10000</v>
      </c>
      <c r="H7" s="9" t="n">
        <f aca="false">IF(D7="Call",E7-F7-G7,0)</f>
        <v>740000</v>
      </c>
      <c r="I7" s="9" t="n">
        <f aca="false">IF(D7="Distribution",E7,0)</f>
        <v>0</v>
      </c>
    </row>
    <row r="8" customFormat="false" ht="15" hidden="false" customHeight="false" outlineLevel="0" collapsed="false">
      <c r="A8" s="8" t="s">
        <v>81</v>
      </c>
      <c r="B8" s="8" t="s">
        <v>51</v>
      </c>
      <c r="C8" s="8" t="s">
        <v>82</v>
      </c>
      <c r="D8" s="8" t="s">
        <v>69</v>
      </c>
      <c r="E8" s="9" t="n">
        <v>2500000</v>
      </c>
      <c r="F8" s="9" t="n">
        <v>200000</v>
      </c>
      <c r="G8" s="9" t="n">
        <v>30000</v>
      </c>
      <c r="H8" s="9" t="n">
        <f aca="false">IF(D8="Call",E8-F8-G8,0)</f>
        <v>2270000</v>
      </c>
      <c r="I8" s="9" t="n">
        <f aca="false">IF(D8="Distribution",E8,0)</f>
        <v>0</v>
      </c>
    </row>
    <row r="9" customFormat="false" ht="15" hidden="false" customHeight="false" outlineLevel="0" collapsed="false">
      <c r="A9" s="8" t="s">
        <v>83</v>
      </c>
      <c r="B9" s="8" t="s">
        <v>51</v>
      </c>
      <c r="C9" s="8" t="s">
        <v>84</v>
      </c>
      <c r="D9" s="8" t="s">
        <v>69</v>
      </c>
      <c r="E9" s="9" t="n">
        <v>2500000</v>
      </c>
      <c r="F9" s="9" t="n">
        <v>180000</v>
      </c>
      <c r="G9" s="9" t="n">
        <v>20000</v>
      </c>
      <c r="H9" s="9" t="n">
        <f aca="false">IF(D9="Call",E9-F9-G9,0)</f>
        <v>2300000</v>
      </c>
      <c r="I9" s="9" t="n">
        <f aca="false">IF(D9="Distribution",E9,0)</f>
        <v>0</v>
      </c>
    </row>
    <row r="10" customFormat="false" ht="15" hidden="false" customHeight="false" outlineLevel="0" collapsed="false">
      <c r="A10" s="8" t="s">
        <v>85</v>
      </c>
      <c r="B10" s="8" t="s">
        <v>51</v>
      </c>
      <c r="C10" s="8" t="s">
        <v>86</v>
      </c>
      <c r="D10" s="8" t="s">
        <v>69</v>
      </c>
      <c r="E10" s="9" t="n">
        <v>2000000</v>
      </c>
      <c r="F10" s="9" t="n">
        <v>140000</v>
      </c>
      <c r="G10" s="9" t="n">
        <v>20000</v>
      </c>
      <c r="H10" s="9" t="n">
        <f aca="false">IF(D10="Call",E10-F10-G10,0)</f>
        <v>1840000</v>
      </c>
      <c r="I10" s="9" t="n">
        <f aca="false">IF(D10="Distribution",E10,0)</f>
        <v>0</v>
      </c>
    </row>
    <row r="11" customFormat="false" ht="15" hidden="false" customHeight="false" outlineLevel="0" collapsed="false">
      <c r="A11" s="8" t="s">
        <v>87</v>
      </c>
      <c r="B11" s="8" t="s">
        <v>51</v>
      </c>
      <c r="C11" s="8" t="s">
        <v>88</v>
      </c>
      <c r="D11" s="8" t="s">
        <v>69</v>
      </c>
      <c r="E11" s="9" t="n">
        <v>1000000</v>
      </c>
      <c r="F11" s="9" t="n">
        <v>70000</v>
      </c>
      <c r="G11" s="9" t="n">
        <v>10000</v>
      </c>
      <c r="H11" s="9" t="n">
        <f aca="false">IF(D11="Call",E11-F11-G11,0)</f>
        <v>920000</v>
      </c>
      <c r="I11" s="9" t="n">
        <f aca="false">IF(D11="Distribution",E11,0)</f>
        <v>0</v>
      </c>
    </row>
    <row r="12" customFormat="false" ht="15" hidden="false" customHeight="false" outlineLevel="0" collapsed="false">
      <c r="A12" s="8" t="s">
        <v>89</v>
      </c>
      <c r="B12" s="8" t="s">
        <v>51</v>
      </c>
      <c r="C12" s="8" t="s">
        <v>90</v>
      </c>
      <c r="D12" s="8" t="s">
        <v>76</v>
      </c>
      <c r="E12" s="9" t="n">
        <v>600000</v>
      </c>
      <c r="F12" s="9" t="n">
        <v>0</v>
      </c>
      <c r="G12" s="9" t="n">
        <v>0</v>
      </c>
      <c r="H12" s="9" t="n">
        <f aca="false">IF(D12="Call",E12-F12-G12,0)</f>
        <v>0</v>
      </c>
      <c r="I12" s="9" t="n">
        <f aca="false">IF(D12="Distribution",E12,0)</f>
        <v>600000</v>
      </c>
    </row>
    <row r="13" customFormat="false" ht="15" hidden="false" customHeight="false" outlineLevel="0" collapsed="false">
      <c r="A13" s="8" t="s">
        <v>91</v>
      </c>
      <c r="B13" s="8" t="s">
        <v>51</v>
      </c>
      <c r="C13" s="8" t="s">
        <v>75</v>
      </c>
      <c r="D13" s="8" t="s">
        <v>76</v>
      </c>
      <c r="E13" s="9" t="n">
        <v>650000</v>
      </c>
      <c r="F13" s="9" t="n">
        <v>0</v>
      </c>
      <c r="G13" s="9" t="n">
        <v>0</v>
      </c>
      <c r="H13" s="9" t="n">
        <f aca="false">IF(D13="Call",E13-F13-G13,0)</f>
        <v>0</v>
      </c>
      <c r="I13" s="9" t="n">
        <f aca="false">IF(D13="Distribution",E13,0)</f>
        <v>650000</v>
      </c>
    </row>
    <row r="14" customFormat="false" ht="15" hidden="false" customHeight="false" outlineLevel="0" collapsed="false">
      <c r="A14" s="8" t="s">
        <v>92</v>
      </c>
      <c r="B14" s="8" t="s">
        <v>53</v>
      </c>
      <c r="C14" s="8" t="s">
        <v>93</v>
      </c>
      <c r="D14" s="8" t="s">
        <v>69</v>
      </c>
      <c r="E14" s="9" t="n">
        <v>1800000</v>
      </c>
      <c r="F14" s="9" t="n">
        <v>120000</v>
      </c>
      <c r="G14" s="9" t="n">
        <v>20000</v>
      </c>
      <c r="H14" s="9" t="n">
        <f aca="false">IF(D14="Call",E14-F14-G14,0)</f>
        <v>1660000</v>
      </c>
      <c r="I14" s="9" t="n">
        <f aca="false">IF(D14="Distribution",E14,0)</f>
        <v>0</v>
      </c>
    </row>
    <row r="15" customFormat="false" ht="15" hidden="false" customHeight="false" outlineLevel="0" collapsed="false">
      <c r="A15" s="8" t="s">
        <v>94</v>
      </c>
      <c r="B15" s="8" t="s">
        <v>53</v>
      </c>
      <c r="C15" s="8" t="s">
        <v>95</v>
      </c>
      <c r="D15" s="8" t="s">
        <v>69</v>
      </c>
      <c r="E15" s="9" t="n">
        <v>1200000</v>
      </c>
      <c r="F15" s="9" t="n">
        <v>80000</v>
      </c>
      <c r="G15" s="9" t="n">
        <v>10000</v>
      </c>
      <c r="H15" s="9" t="n">
        <f aca="false">IF(D15="Call",E15-F15-G15,0)</f>
        <v>1110000</v>
      </c>
      <c r="I15" s="9" t="n">
        <f aca="false">IF(D15="Distribution",E15,0)</f>
        <v>0</v>
      </c>
    </row>
    <row r="17" customFormat="false" ht="15" hidden="false" customHeight="false" outlineLevel="0" collapsed="false">
      <c r="A17" s="3" t="s">
        <v>96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4" min="3" style="0" width="16"/>
    <col collapsed="false" customWidth="true" hidden="false" outlineLevel="0" max="5" min="5" style="0" width="9"/>
    <col collapsed="false" customWidth="true" hidden="false" outlineLevel="0" max="6" min="6" style="0" width="12"/>
    <col collapsed="false" customWidth="true" hidden="false" outlineLevel="0" max="8" min="7" style="0" width="18"/>
    <col collapsed="false" customWidth="true" hidden="false" outlineLevel="0" max="9" min="9" style="0" width="10"/>
  </cols>
  <sheetData>
    <row r="1" customFormat="false" ht="26.85" hidden="false" customHeight="false" outlineLevel="0" collapsed="false">
      <c r="A1" s="7" t="s">
        <v>13</v>
      </c>
      <c r="B1" s="7" t="s">
        <v>97</v>
      </c>
      <c r="C1" s="7" t="s">
        <v>98</v>
      </c>
      <c r="D1" s="7" t="s">
        <v>99</v>
      </c>
      <c r="E1" s="7" t="s">
        <v>22</v>
      </c>
      <c r="F1" s="7" t="s">
        <v>100</v>
      </c>
      <c r="G1" s="7" t="s">
        <v>101</v>
      </c>
      <c r="H1" s="7" t="s">
        <v>102</v>
      </c>
      <c r="I1" s="7" t="s">
        <v>103</v>
      </c>
    </row>
    <row r="2" customFormat="false" ht="15" hidden="false" customHeight="false" outlineLevel="0" collapsed="false">
      <c r="A2" s="8" t="s">
        <v>104</v>
      </c>
      <c r="B2" s="8" t="s">
        <v>105</v>
      </c>
      <c r="C2" s="11" t="n">
        <v>1200000000</v>
      </c>
      <c r="D2" s="11" t="n">
        <v>1600000000</v>
      </c>
      <c r="E2" s="8" t="s">
        <v>30</v>
      </c>
      <c r="F2" s="8"/>
      <c r="G2" s="11"/>
      <c r="H2" s="8" t="s">
        <v>106</v>
      </c>
      <c r="I2" s="12" t="n">
        <f aca="false">IF(E2="Exited",IFERROR(G2/C2,"Needs Review"),IF(H2="Clean",IFERROR(D2/C2,"Needs Review"),"Needs Review"))</f>
        <v>1.33333333333333</v>
      </c>
    </row>
    <row r="3" customFormat="false" ht="15" hidden="false" customHeight="false" outlineLevel="0" collapsed="false">
      <c r="A3" s="8" t="s">
        <v>107</v>
      </c>
      <c r="B3" s="8" t="s">
        <v>108</v>
      </c>
      <c r="C3" s="11" t="n">
        <v>800000000</v>
      </c>
      <c r="D3" s="11"/>
      <c r="E3" s="8" t="s">
        <v>109</v>
      </c>
      <c r="F3" s="8" t="s">
        <v>110</v>
      </c>
      <c r="G3" s="11" t="n">
        <v>1100000000</v>
      </c>
      <c r="H3" s="8" t="s">
        <v>106</v>
      </c>
      <c r="I3" s="12" t="n">
        <f aca="false">IF(E3="Exited",IFERROR(G3/C3,"Needs Review"),IF(H3="Clean",IFERROR(D3/C3,"Needs Review"),"Needs Review"))</f>
        <v>1.375</v>
      </c>
    </row>
    <row r="4" customFormat="false" ht="15" hidden="false" customHeight="false" outlineLevel="0" collapsed="false">
      <c r="A4" s="8" t="s">
        <v>111</v>
      </c>
      <c r="B4" s="8" t="s">
        <v>112</v>
      </c>
      <c r="C4" s="11" t="n">
        <v>500000000</v>
      </c>
      <c r="D4" s="11"/>
      <c r="E4" s="8" t="s">
        <v>109</v>
      </c>
      <c r="F4" s="8" t="s">
        <v>113</v>
      </c>
      <c r="G4" s="11" t="n">
        <v>300000000</v>
      </c>
      <c r="H4" s="8" t="s">
        <v>106</v>
      </c>
      <c r="I4" s="12" t="n">
        <f aca="false">IF(E4="Exited",IFERROR(G4/C4,"Needs Review"),IF(H4="Clean",IFERROR(D4/C4,"Needs Review"),"Needs Review"))</f>
        <v>0.6</v>
      </c>
    </row>
    <row r="5" customFormat="false" ht="15" hidden="false" customHeight="false" outlineLevel="0" collapsed="false">
      <c r="A5" s="8" t="s">
        <v>114</v>
      </c>
      <c r="B5" s="8" t="s">
        <v>115</v>
      </c>
      <c r="C5" s="11" t="n">
        <v>900000000</v>
      </c>
      <c r="D5" s="11" t="n">
        <v>0</v>
      </c>
      <c r="E5" s="8" t="s">
        <v>30</v>
      </c>
      <c r="F5" s="8"/>
      <c r="G5" s="11"/>
      <c r="H5" s="8" t="s">
        <v>116</v>
      </c>
      <c r="I5" s="12" t="str">
        <f aca="false">IF(E5="Exited",IFERROR(G5/C5,"Needs Review"),IF(H5="Clean",IFERROR(D5/C5,"Needs Review"),"Needs Review"))</f>
        <v>Needs Review</v>
      </c>
    </row>
    <row r="6" customFormat="false" ht="15" hidden="false" customHeight="false" outlineLevel="0" collapsed="false">
      <c r="A6" s="8" t="s">
        <v>117</v>
      </c>
      <c r="B6" s="8" t="s">
        <v>118</v>
      </c>
      <c r="C6" s="11" t="n">
        <v>600000000</v>
      </c>
      <c r="D6" s="11"/>
      <c r="E6" s="8" t="s">
        <v>30</v>
      </c>
      <c r="F6" s="8"/>
      <c r="G6" s="11"/>
      <c r="H6" s="8" t="s">
        <v>119</v>
      </c>
      <c r="I6" s="12" t="str">
        <f aca="false">IF(E6="Exited",IFERROR(G6/C6,"Needs Review"),IF(H6="Clean",IFERROR(D6/C6,"Needs Review"),"Needs Review"))</f>
        <v>Needs Review</v>
      </c>
    </row>
    <row r="8" customFormat="false" ht="15" hidden="false" customHeight="false" outlineLevel="0" collapsed="false">
      <c r="A8" s="3" t="s">
        <v>120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3" min="3" style="0" width="18"/>
    <col collapsed="false" customWidth="true" hidden="false" outlineLevel="0" max="4" min="4" style="0" width="20"/>
    <col collapsed="false" customWidth="true" hidden="false" outlineLevel="0" max="5" min="5" style="0" width="16"/>
  </cols>
  <sheetData>
    <row r="1" customFormat="false" ht="17.35" hidden="false" customHeight="false" outlineLevel="0" collapsed="false">
      <c r="A1" s="1" t="s">
        <v>121</v>
      </c>
      <c r="B1" s="1"/>
      <c r="C1" s="1"/>
      <c r="D1" s="1"/>
      <c r="E1" s="1"/>
    </row>
    <row r="2" customFormat="false" ht="15" hidden="false" customHeight="false" outlineLevel="0" collapsed="false">
      <c r="A2" s="6" t="s">
        <v>122</v>
      </c>
      <c r="B2" s="6"/>
      <c r="C2" s="6"/>
      <c r="D2" s="6"/>
      <c r="E2" s="6"/>
    </row>
    <row r="4" customFormat="false" ht="15" hidden="false" customHeight="false" outlineLevel="0" collapsed="false">
      <c r="A4" s="5" t="s">
        <v>123</v>
      </c>
    </row>
    <row r="5" customFormat="false" ht="15" hidden="false" customHeight="false" outlineLevel="0" collapsed="false">
      <c r="A5" s="0" t="s">
        <v>124</v>
      </c>
      <c r="B5" s="13" t="n">
        <f aca="false">SUMIFS(DirectPositions!F2:F4,DirectPositions!J2:J4,"Active")</f>
        <v>22000000</v>
      </c>
    </row>
    <row r="6" customFormat="false" ht="15" hidden="false" customHeight="false" outlineLevel="0" collapsed="false">
      <c r="A6" s="0" t="s">
        <v>125</v>
      </c>
      <c r="B6" s="13" t="n">
        <f aca="false">SUMIFS(DirectPositions!G2:G4,DirectPositions!J2:J4,"Active")</f>
        <v>22950000</v>
      </c>
    </row>
    <row r="7" customFormat="false" ht="15" hidden="false" customHeight="false" outlineLevel="0" collapsed="false">
      <c r="A7" s="0" t="s">
        <v>126</v>
      </c>
      <c r="B7" s="14" t="n">
        <f aca="false">B5*Assumptions!$B$4</f>
        <v>34100000000</v>
      </c>
    </row>
    <row r="8" customFormat="false" ht="15" hidden="false" customHeight="false" outlineLevel="0" collapsed="false">
      <c r="A8" s="0" t="s">
        <v>127</v>
      </c>
      <c r="B8" s="14" t="n">
        <f aca="false">B6*Assumptions!$B$4</f>
        <v>35572500000</v>
      </c>
    </row>
    <row r="10" customFormat="false" ht="15" hidden="false" customHeight="false" outlineLevel="0" collapsed="false">
      <c r="A10" s="5" t="s">
        <v>128</v>
      </c>
    </row>
    <row r="11" customFormat="false" ht="15" hidden="false" customHeight="false" outlineLevel="0" collapsed="false">
      <c r="A11" s="0" t="s">
        <v>129</v>
      </c>
      <c r="B11" s="13" t="n">
        <f aca="false">SUM(CashFlowEvents!H2:H15)</f>
        <v>17550000</v>
      </c>
    </row>
    <row r="12" customFormat="false" ht="15" hidden="false" customHeight="false" outlineLevel="0" collapsed="false">
      <c r="A12" s="0" t="s">
        <v>130</v>
      </c>
      <c r="B12" s="13" t="n">
        <f aca="false">SUM(CashFlowEvents!I2:I15)</f>
        <v>2050000</v>
      </c>
    </row>
    <row r="13" customFormat="false" ht="15" hidden="false" customHeight="false" outlineLevel="0" collapsed="false">
      <c r="A13" s="0" t="s">
        <v>131</v>
      </c>
      <c r="B13" s="13" t="n">
        <f aca="false">SUMIFS(FundCommitments!I2:I6,FundCommitments!J2:J6,"Active")</f>
        <v>30116666.6666667</v>
      </c>
    </row>
    <row r="14" customFormat="false" ht="15" hidden="false" customHeight="false" outlineLevel="0" collapsed="false">
      <c r="A14" s="0" t="s">
        <v>132</v>
      </c>
      <c r="B14" s="14" t="n">
        <f aca="false">B11*Assumptions!$B$4</f>
        <v>27202500000</v>
      </c>
    </row>
    <row r="15" customFormat="false" ht="15" hidden="false" customHeight="false" outlineLevel="0" collapsed="false">
      <c r="A15" s="0" t="s">
        <v>133</v>
      </c>
      <c r="B15" s="14" t="n">
        <f aca="false">B13*Assumptions!$B$4</f>
        <v>46680833333.3333</v>
      </c>
    </row>
    <row r="16" customFormat="false" ht="15" hidden="false" customHeight="false" outlineLevel="0" collapsed="false">
      <c r="A16" s="0" t="s">
        <v>134</v>
      </c>
      <c r="B16" s="15" t="n">
        <f aca="false">IFERROR((B12+B13)/B11,"Needs Review")</f>
        <v>1.83285849952517</v>
      </c>
    </row>
    <row r="18" customFormat="false" ht="15" hidden="false" customHeight="false" outlineLevel="0" collapsed="false">
      <c r="A18" s="5" t="s">
        <v>135</v>
      </c>
    </row>
    <row r="19" customFormat="false" ht="15" hidden="false" customHeight="false" outlineLevel="0" collapsed="false">
      <c r="A19" s="0" t="s">
        <v>126</v>
      </c>
      <c r="B19" s="14" t="n">
        <f aca="false">SUMIFS(ImpactHoldings!C2:C6,ImpactHoldings!E2:E6,"Active")</f>
        <v>2700000000</v>
      </c>
    </row>
    <row r="20" customFormat="false" ht="15" hidden="false" customHeight="false" outlineLevel="0" collapsed="false">
      <c r="A20" s="0" t="s">
        <v>136</v>
      </c>
      <c r="B20" s="14" t="n">
        <f aca="false">SUMIFS(ImpactHoldings!D2:D6,ImpactHoldings!E2:E6,"Active")</f>
        <v>1600000000</v>
      </c>
    </row>
    <row r="21" customFormat="false" ht="15" hidden="false" customHeight="false" outlineLevel="0" collapsed="false">
      <c r="A21" s="0" t="s">
        <v>137</v>
      </c>
      <c r="B21" s="0" t="n">
        <f aca="false">COUNTIFS(ImpactHoldings!E2:E6,"Active",ImpactHoldings!H2:H6,"&lt;&gt;Clean")</f>
        <v>2</v>
      </c>
    </row>
    <row r="23" customFormat="false" ht="15" hidden="false" customHeight="false" outlineLevel="0" collapsed="false">
      <c r="A23" s="5" t="s">
        <v>138</v>
      </c>
    </row>
    <row r="24" customFormat="false" ht="15" hidden="false" customHeight="false" outlineLevel="0" collapsed="false">
      <c r="A24" s="16" t="s">
        <v>139</v>
      </c>
      <c r="B24" s="17" t="n">
        <f aca="false">B7+B14+B19</f>
        <v>64002500000</v>
      </c>
    </row>
    <row r="25" customFormat="false" ht="15" hidden="false" customHeight="false" outlineLevel="0" collapsed="false">
      <c r="A25" s="16" t="s">
        <v>140</v>
      </c>
      <c r="B25" s="17" t="n">
        <f aca="false">B8+B15+B20</f>
        <v>83853333333.3333</v>
      </c>
    </row>
    <row r="27" customFormat="false" ht="15" hidden="false" customHeight="false" outlineLevel="0" collapsed="false">
      <c r="A27" s="5" t="s">
        <v>141</v>
      </c>
    </row>
    <row r="28" customFormat="false" ht="15" hidden="false" customHeight="false" outlineLevel="0" collapsed="false">
      <c r="A28" s="16" t="s">
        <v>142</v>
      </c>
      <c r="B28" s="16" t="s">
        <v>143</v>
      </c>
      <c r="C28" s="16" t="s">
        <v>144</v>
      </c>
      <c r="D28" s="16" t="s">
        <v>145</v>
      </c>
      <c r="E28" s="16" t="s">
        <v>146</v>
      </c>
    </row>
    <row r="29" customFormat="false" ht="15" hidden="false" customHeight="false" outlineLevel="0" collapsed="false">
      <c r="A29" s="0" t="str">
        <f aca="false">ImpactHoldings!B3</f>
        <v>Craftbyte Software</v>
      </c>
      <c r="B29" s="0" t="str">
        <f aca="false">ImpactHoldings!F3</f>
        <v>2025-02-20</v>
      </c>
      <c r="C29" s="14" t="n">
        <f aca="false">ImpactHoldings!C3</f>
        <v>800000000</v>
      </c>
      <c r="D29" s="14" t="n">
        <f aca="false">ImpactHoldings!G3</f>
        <v>1100000000</v>
      </c>
      <c r="E29" s="15" t="n">
        <f aca="false">ImpactHoldings!I3</f>
        <v>1.375</v>
      </c>
    </row>
    <row r="30" customFormat="false" ht="15" hidden="false" customHeight="false" outlineLevel="0" collapsed="false">
      <c r="A30" s="0" t="str">
        <f aca="false">ImpactHoldings!B4</f>
        <v>Zolapay</v>
      </c>
      <c r="B30" s="0" t="str">
        <f aca="false">ImpactHoldings!F4</f>
        <v>2025-01-10</v>
      </c>
      <c r="C30" s="14" t="n">
        <f aca="false">ImpactHoldings!C4</f>
        <v>500000000</v>
      </c>
      <c r="D30" s="14" t="n">
        <f aca="false">ImpactHoldings!G4</f>
        <v>300000000</v>
      </c>
      <c r="E30" s="15" t="n">
        <f aca="false">ImpactHoldings!I4</f>
        <v>0.6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2026-08-19T22:25:03Z</dcterms:created>
  <dc:creator>openpyxl</dc:creator>
  <dc:description/>
  <dc:language>en-US</dc:language>
  <cp:lastModifiedBy/>
  <dcterms:modified xsi:type="dcterms:W3CDTF">2026-08-19T22:25:03Z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